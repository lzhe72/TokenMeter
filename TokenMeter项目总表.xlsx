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1e5c4160fd34111" /></Relationships>
</file>

<file path=xl/workbook.xml><?xml version="1.0" encoding="utf-8"?>
<x:workbook xmlns:x="http://schemas.openxmlformats.org/spreadsheetml/2006/main">
  <x:sheets>
    <x:sheet xmlns:r="http://schemas.openxmlformats.org/officeDocument/2006/relationships" name="00项目总览" sheetId="1" r:id="Rbde94a1a5ca34e1d"/>
    <x:sheet xmlns:r="http://schemas.openxmlformats.org/officeDocument/2006/relationships" name="01需求清单" sheetId="2" r:id="R284aa9f88a2e4034"/>
    <x:sheet xmlns:r="http://schemas.openxmlformats.org/officeDocument/2006/relationships" name="02验收条件" sheetId="3" r:id="Rc25a6238ae194d71"/>
    <x:sheet xmlns:r="http://schemas.openxmlformats.org/officeDocument/2006/relationships" name="03功能点" sheetId="4" r:id="Rcc997e240d914aa6"/>
    <x:sheet xmlns:r="http://schemas.openxmlformats.org/officeDocument/2006/relationships" name="04开发任务" sheetId="5" r:id="R08667b0399ca47da"/>
    <x:sheet xmlns:r="http://schemas.openxmlformats.org/officeDocument/2006/relationships" name="05测试用例" sheetId="6" r:id="R48cbdec366684311"/>
    <x:sheet xmlns:r="http://schemas.openxmlformats.org/officeDocument/2006/relationships" name="06测试批次" sheetId="7" r:id="Rf5c7c974eace4aa0"/>
    <x:sheet xmlns:r="http://schemas.openxmlformats.org/officeDocument/2006/relationships" name="07发布版本" sheetId="8" r:id="Rf8cb85b19dcf4653"/>
    <x:sheet xmlns:r="http://schemas.openxmlformats.org/officeDocument/2006/relationships" name="08问题复盘" sheetId="9" r:id="R50a4e122758c41f8"/>
    <x:sheet xmlns:r="http://schemas.openxmlformats.org/officeDocument/2006/relationships" name="09执行SOP" sheetId="10" r:id="R57a9fa2ad59a4f1a"/>
    <x:sheet xmlns:r="http://schemas.openxmlformats.org/officeDocument/2006/relationships" name="10项目约定" sheetId="11" r:id="R0b814b45870a429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7796024728f4523" /><Relationship Type="http://schemas.openxmlformats.org/officeDocument/2006/relationships/theme" Target="/xl/theme/theme1.xml" Id="Rb5290d4401344d0d" /><Relationship Type="http://schemas.microsoft.com/office/2022/11/relationships/FeaturePropertyBag" Target="/xl/featurePropertyBag/featurePropertyBag.xml" Id="R1e0d00bd419c45d3" /><Relationship Type="http://schemas.openxmlformats.org/officeDocument/2006/relationships/sharedStrings" Target="/xl/sharedStrings.xml" Id="Rf2b8b793ac67493a" /><Relationship Type="http://schemas.openxmlformats.org/officeDocument/2006/relationships/worksheet" Target="/xl/worksheets/sheet1.xml" Id="Rbde94a1a5ca34e1d" /><Relationship Type="http://schemas.openxmlformats.org/officeDocument/2006/relationships/worksheet" Target="/xl/worksheets/sheet2.xml" Id="R284aa9f88a2e4034" /><Relationship Type="http://schemas.openxmlformats.org/officeDocument/2006/relationships/worksheet" Target="/xl/worksheets/sheet3.xml" Id="Rc25a6238ae194d71" /><Relationship Type="http://schemas.openxmlformats.org/officeDocument/2006/relationships/worksheet" Target="/xl/worksheets/sheet4.xml" Id="Rcc997e240d914aa6" /><Relationship Type="http://schemas.openxmlformats.org/officeDocument/2006/relationships/worksheet" Target="/xl/worksheets/sheet5.xml" Id="R08667b0399ca47da" /><Relationship Type="http://schemas.openxmlformats.org/officeDocument/2006/relationships/worksheet" Target="/xl/worksheets/sheet6.xml" Id="R48cbdec366684311" /><Relationship Type="http://schemas.openxmlformats.org/officeDocument/2006/relationships/worksheet" Target="/xl/worksheets/sheet7.xml" Id="Rf5c7c974eace4aa0" /><Relationship Type="http://schemas.openxmlformats.org/officeDocument/2006/relationships/worksheet" Target="/xl/worksheets/sheet8.xml" Id="Rf8cb85b19dcf4653" /><Relationship Type="http://schemas.openxmlformats.org/officeDocument/2006/relationships/worksheet" Target="/xl/worksheets/sheet9.xml" Id="R50a4e122758c41f8" /><Relationship Type="http://schemas.openxmlformats.org/officeDocument/2006/relationships/worksheet" Target="/xl/worksheets/sheet10.xml" Id="R57a9fa2ad59a4f1a" /><Relationship Type="http://schemas.openxmlformats.org/officeDocument/2006/relationships/worksheet" Target="/xl/worksheets/sheet11.xml" Id="R0b814b45870a429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3" headerRowCount="1" totalsRowCount="0" totalsRowShown="0">
  <x:autoFilter ref="A4:N273"/>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0" headerRowCount="1" totalsRowCount="0" totalsRowShown="0">
  <x:autoFilter ref="A4:N20"/>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034ed23f6dd49f9" /></Relationships>
</file>

<file path=xl/worksheets/_rels/sheet2.xml.rels>&#65279;<?xml version="1.0" encoding="utf-8"?><Relationships xmlns="http://schemas.openxmlformats.org/package/2006/relationships"><Relationship Type="http://schemas.openxmlformats.org/officeDocument/2006/relationships/table" Target="/xl/tables/table2.xml" Id="R76cc21639a444669" /></Relationships>
</file>

<file path=xl/worksheets/_rels/sheet3.xml.rels>&#65279;<?xml version="1.0" encoding="utf-8"?><Relationships xmlns="http://schemas.openxmlformats.org/package/2006/relationships"><Relationship Type="http://schemas.openxmlformats.org/officeDocument/2006/relationships/table" Target="/xl/tables/table3.xml" Id="Rdc99b01a21c74a59" /></Relationships>
</file>

<file path=xl/worksheets/_rels/sheet4.xml.rels>&#65279;<?xml version="1.0" encoding="utf-8"?><Relationships xmlns="http://schemas.openxmlformats.org/package/2006/relationships"><Relationship Type="http://schemas.openxmlformats.org/officeDocument/2006/relationships/table" Target="/xl/tables/table4.xml" Id="R48b80fb90b69440a" /></Relationships>
</file>

<file path=xl/worksheets/_rels/sheet5.xml.rels>&#65279;<?xml version="1.0" encoding="utf-8"?><Relationships xmlns="http://schemas.openxmlformats.org/package/2006/relationships"><Relationship Type="http://schemas.openxmlformats.org/officeDocument/2006/relationships/table" Target="/xl/tables/table5.xml" Id="Rc3fc4ce55b6b4ada" /></Relationships>
</file>

<file path=xl/worksheets/_rels/sheet6.xml.rels>&#65279;<?xml version="1.0" encoding="utf-8"?><Relationships xmlns="http://schemas.openxmlformats.org/package/2006/relationships"><Relationship Type="http://schemas.openxmlformats.org/officeDocument/2006/relationships/table" Target="/xl/tables/table6.xml" Id="Rad33f5b1dcfb4e67" /></Relationships>
</file>

<file path=xl/worksheets/_rels/sheet7.xml.rels>&#65279;<?xml version="1.0" encoding="utf-8"?><Relationships xmlns="http://schemas.openxmlformats.org/package/2006/relationships"><Relationship Type="http://schemas.openxmlformats.org/officeDocument/2006/relationships/table" Target="/xl/tables/table7.xml" Id="R7e7a2a8d48c543ac" /></Relationships>
</file>

<file path=xl/worksheets/_rels/sheet8.xml.rels>&#65279;<?xml version="1.0" encoding="utf-8"?><Relationships xmlns="http://schemas.openxmlformats.org/package/2006/relationships"><Relationship Type="http://schemas.openxmlformats.org/officeDocument/2006/relationships/table" Target="/xl/tables/table8.xml" Id="Rdc5d10965c904b6d" /></Relationships>
</file>

<file path=xl/worksheets/_rels/sheet9.xml.rels>&#65279;<?xml version="1.0" encoding="utf-8"?><Relationships xmlns="http://schemas.openxmlformats.org/package/2006/relationships"><Relationship Type="http://schemas.openxmlformats.org/officeDocument/2006/relationships/table" Target="/xl/tables/table9.xml" Id="R3e806a9fd13a4224" /></Relationships>
</file>

<file path=xl/worksheets/_rels/sheet10.xml.rels>&#65279;<?xml version="1.0" encoding="utf-8"?><Relationships xmlns="http://schemas.openxmlformats.org/package/2006/relationships"><Relationship Type="http://schemas.openxmlformats.org/officeDocument/2006/relationships/table" Target="/xl/tables/table10.xml" Id="R8da03928fcd14244" /></Relationships>
</file>

<file path=xl/worksheets/_rels/sheet11.xml.rels>&#65279;<?xml version="1.0" encoding="utf-8"?><Relationships xmlns="http://schemas.openxmlformats.org/package/2006/relationships"><Relationship Type="http://schemas.openxmlformats.org/officeDocument/2006/relationships/table" Target="/xl/tables/table11.xml" Id="Rc9c873e73bb3444f"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COUNTA('05测试用例'!B5:B273)</x:f>
        <x:v>269</x:v>
      </x:c>
      <x:c r="C8" s="9" t="str">
        <x:v>父用例与具有稳定 ID 的变体各占一行；含未来概要场景</x:v>
      </x:c>
    </x:row>
    <x:row r="9" ht="32" customHeight="1">
      <x:c r="A9" s="4" t="str">
        <x:v>测试批次</x:v>
      </x:c>
      <x:c r="B9" s="10" t="n">
        <x:f>COUNTA('06测试批次'!A5:A20)</x:f>
        <x:v>16</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56</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granular_targeted_probe；仅TC-TM001-UPDATE-05父例及13固定变体：UPDATE-05父例1 PASS、13固定变体13 PASS、26逐步记录，77条TM001父例范围外；清理完成。仅709d候选定向探针，不覆盖旧c291完整门禁FAIL或授予发行资格；Excel为后置de081a6导出修复从原报告生成，非重跑App。；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6034ed23f6dd49f9"/>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76cc21639a444669"/>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dc99b01a21c74a59"/>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48b80fb90b69440a"/>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c3fc4ce55b6b4ada"/>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docs/testing/cases/05-TM-005-usage-statistics.md:21</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docs/testing/cases/05-TM-005-usage-statistics.md:38</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docs/testing/cases/03-TM-003-codex-collection.md:238</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docs/testing/cases/03-TM-003-codex-collection.md:242</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docs/testing/cases/03-TM-003-codex-collection.md:246</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docs/testing/cases/03-TM-003-codex-collection.md:250</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docs/testing/cases/03-TM-003-codex-collection.md:254</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docs/testing/cases/03-TM-003-codex-collection.md:258</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docs/testing/cases/03-TM-003-codex-collection.md:262</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docs/testing/cases/03-TM-003-codex-collection.md:266</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docs/testing/cases/03-TM-003-codex-collection.md:270</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docs/testing/cases/03-TM-003-codex-collection.md:274</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docs/testing/cases/03-TM-003-codex-collection.md:278</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docs/testing/cases/03-TM-003-codex-collection.md:282</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docs/testing/cases/03-TM-003-codex-collection.md:286</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docs/testing/cases/03-TM-003-codex-collection.md:290</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docs/testing/cases/03-TM-003-codex-collection.md:294</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docs/testing/cases/03-TM-003-codex-collection.md:298</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docs/testing/cases/03-TM-003-codex-collection.md:302</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docs/testing/cases/03-TM-003-codex-collection.md:306</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docs/testing/cases/03-TM-003-codex-collection.md:310</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docs/testing/cases/03-TM-003-codex-collection.md:314</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docs/testing/cases/03-TM-003-codex-collection.md:318</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docs/testing/cases/03-TM-003-codex-collection.md:322</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docs/testing/cases/03-TM-003-codex-collection.md:326</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docs/testing/cases/03-TM-003-codex-collection.md:330</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docs/testing/cases/03-TM-003-codex-collection.md:334</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docs/testing/cases/03-TM-003-codex-collection.md:338</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docs/testing/cases/03-TM-003-codex-collection.md:342</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docs/testing/cases/03-TM-003-codex-collection.md:346</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docs/testing/cases/03-TM-003-codex-collection.md:350</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docs/testing/cases/03-TM-003-codex-collection.md:354</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未执行</x:v>
      </x:c>
      <x:c r="K266" s="9" t="str">
        <x:v>细化用例</x:v>
      </x:c>
      <x:c r="L266" s="9" t="str">
        <x:v>docs/testing/cases/03-TM-003-codex-collection.md:203</x:v>
      </x:c>
      <x:c r="M266" s="9" t="str">
        <x:v>尚未执行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未执行</x:v>
      </x:c>
      <x:c r="K267" s="4" t="str">
        <x:v>细化用例</x:v>
      </x:c>
      <x:c r="L267" s="4" t="str">
        <x:v>docs/testing/cases/03-TM-003-codex-collection.md:216</x:v>
      </x:c>
      <x:c r="M267" s="4" t="str">
        <x:v>尚未执行</x:v>
      </x:c>
      <x:c r="N267" s="4" t="str">
        <x:v>v0.3.0-20261001T034652Z</x:v>
      </x:c>
    </x:row>
    <x:row r="268" ht="87" customHeight="1">
      <x:c r="A268" s="9" t="str">
        <x:v>TM-005</x:v>
      </x:c>
      <x:c r="B268" s="9" t="str">
        <x:v>TC-TM005-CORE-01</x:v>
      </x:c>
      <x:c r="C268" s="9" t="str">
        <x:v>双来源可信事件与半开日汇总</x:v>
      </x:c>
      <x:c r="D268" s="9" t="str">
        <x:v>TASK-TM005-EVENT-CONTRACT
TASK-TM005-RANGE-QUERY</x:v>
      </x:c>
      <x:c r="E268" s="9" t="str">
        <x:v>模块检查</x:v>
      </x:c>
      <x:c r="F268" s="9" t="str">
        <x:v>fixture的A/B、跨主体C、界外D/E；synthetic-p1、Asia/Shanghai当地日2026-09-29</x:v>
      </x:c>
      <x:c r="G268"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8" s="9" t="str">
        <x:v>准备：无产品DB写入；每例从新内存输入开始
变化：不适用；纯统计返回值与输入未变
核验：固定fixture摘要、事件筛选、各字段与状态逐步核对；无SQL</x:v>
      </x:c>
      <x:c r="I268" s="9" t="str">
        <x:v>draft</x:v>
      </x:c>
      <x:c r="J268" s="9" t="str">
        <x:v>未执行</x:v>
      </x:c>
      <x:c r="K268" s="9" t="str">
        <x:v>细化用例</x:v>
      </x:c>
      <x:c r="L268" s="9" t="str">
        <x:v>releases/v0.5.0-20261001T034729Z/04a-test-cases.md:326</x:v>
      </x:c>
      <x:c r="M268" s="9" t="str">
        <x:v>尚未执行</x:v>
      </x:c>
      <x:c r="N268" s="9" t="str">
        <x:v>v0.5.0-20261001T034729Z</x:v>
      </x:c>
    </x:row>
    <x:row r="269" ht="57" customHeight="1">
      <x:c r="A269" s="4" t="str">
        <x:v>TM-005</x:v>
      </x:c>
      <x:c r="B269" s="4" t="str">
        <x:v>TC-TM005-CORE-02</x:v>
      </x:c>
      <x:c r="C269" s="4" t="str">
        <x:v>未知用量诊断不补零</x:v>
      </x:c>
      <x:c r="D269" s="4" t="str">
        <x:v>TASK-TM005-EVENT-CONTRACT
TASK-TM005-COVERAGE</x:v>
      </x:c>
      <x:c r="E269" s="4" t="str">
        <x:v>模块检查</x:v>
      </x:c>
      <x:c r="F269" s="4" t="str">
        <x:v>fixture A/B及同范围Claude missing_usage诊断；双来源complete仅为模块合成覆盖假设</x:v>
      </x:c>
      <x:c r="G269" s="4" t="str">
        <x:v>1. 先仅统计A/B；已知330，未知模型110保留，来源Codex110/Claude220
2. 加入诊断重新统计；partial、known_tokens330、total_tokens=null；诊断不增调用或零Token
3. 移除A/B仅保留诊断；unknown、known_tokens0、total_tokens=null，不能写已确认零</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releases/v0.5.0-20261001T034729Z/04a-test-cases.md:334</x:v>
      </x:c>
      <x:c r="M269" s="4" t="str">
        <x:v>尚未执行</x:v>
      </x:c>
      <x:c r="N269" s="4" t="str">
        <x:v>v0.5.0-20261001T034729Z</x:v>
      </x:c>
    </x:row>
    <x:row r="270" ht="87" customHeight="1">
      <x:c r="A270" s="9" t="str">
        <x:v>TM-005</x:v>
      </x:c>
      <x:c r="B270" s="9" t="str">
        <x:v>TC-TM005-CORE-03</x:v>
      </x:c>
      <x:c r="C270" s="9" t="str">
        <x:v>声明式覆盖状态代数</x:v>
      </x:c>
      <x:c r="D270" s="9" t="str">
        <x:v>TASK-TM005-COVERAGE</x:v>
      </x:c>
      <x:c r="E270" s="9" t="str">
        <x:v>模块检查</x:v>
      </x:c>
      <x:c r="F270" s="9" t="str">
        <x:v>fixture五行coverage_algebra；complete仅为模块合成输入，product_coverage_proven=false</x:v>
      </x:c>
      <x:c r="G270"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releases/v0.5.0-20261001T034729Z/04a-test-cases.md:342</x:v>
      </x:c>
      <x:c r="M270" s="9" t="str">
        <x:v>尚未执行</x:v>
      </x:c>
      <x:c r="N270" s="9" t="str">
        <x:v>v0.5.0-20261001T034729Z</x:v>
      </x:c>
    </x:row>
    <x:row r="271" ht="72" customHeight="1">
      <x:c r="A271" s="4" t="str">
        <x:v>TM-004</x:v>
      </x:c>
      <x:c r="B271" s="4" t="str">
        <x:v>TC-TM004-CORE-01</x:v>
      </x:c>
      <x:c r="C271" s="4" t="str">
        <x:v>完整LF、半行与限额续读</x:v>
      </x:c>
      <x:c r="D271" s="4" t="str">
        <x:v>TASK-TM004-INCREMENTAL</x:v>
      </x:c>
      <x:c r="E271" s="4" t="str">
        <x:v>模块检查</x:v>
      </x:c>
      <x:c r="F271" s="4" t="str">
        <x:v>固定746字节13/7 assistant行、前半字节、两条不同ID完整行、首读上限754字节</x:v>
      </x:c>
      <x:c r="G271"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1" s="4" t="str">
        <x:v>准备：无产品DB；每例新建自有临时文件
变化：不适用；只返回模块调用、诊断与游标
核验：固定fixture/行摘要和逐步返回值、前缀MAC及失败时无新游标；无SQL</x:v>
      </x:c>
      <x:c r="I271" s="4" t="str">
        <x:v>draft</x:v>
      </x:c>
      <x:c r="J271" s="4" t="str">
        <x:v>未执行</x:v>
      </x:c>
      <x:c r="K271" s="4" t="str">
        <x:v>细化用例</x:v>
      </x:c>
      <x:c r="L271" s="4" t="str">
        <x:v>docs/testing/cases/04-TM-004-claude-collection.md:170</x:v>
      </x:c>
      <x:c r="M271" s="4" t="str">
        <x:v>尚未执行</x:v>
      </x:c>
      <x:c r="N271" s="4" t="str">
        <x:v>v0.4.0-20261001T040433Z</x:v>
      </x:c>
    </x:row>
    <x:row r="272" ht="72" customHeight="1">
      <x:c r="A272" s="9" t="str">
        <x:v>TM-004</x:v>
      </x:c>
      <x:c r="B272" s="9" t="str">
        <x:v>TC-TM004-CORE-02</x:v>
      </x:c>
      <x:c r="C272" s="9" t="str">
        <x:v>前缀MAC、变更和密钥失败</x:v>
      </x:c>
      <x:c r="D272" s="9" t="str">
        <x:v>TASK-TM004-INCREMENTAL</x:v>
      </x:c>
      <x:c r="E272" s="9" t="str">
        <x:v>模块检查</x:v>
      </x:c>
      <x:c r="F272" s="9" t="str">
        <x:v>已提交首行，追加不同ID第二行、同长度ID改写并复原mtime、截短、身份改变、秘密缺失或错误</x:v>
      </x:c>
      <x:c r="G272" s="9"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docs/testing/cases/04-TM-004-claude-collection.md:178</x:v>
      </x:c>
      <x:c r="M272" s="9" t="str">
        <x:v>尚未执行</x:v>
      </x:c>
      <x:c r="N272" s="9" t="str">
        <x:v>v0.4.0-20261001T040433Z</x:v>
      </x:c>
    </x:row>
    <x:row r="273" ht="57" customHeight="1">
      <x:c r="A273" s="4" t="str">
        <x:v>TM-004</x:v>
      </x:c>
      <x:c r="B273" s="4" t="str">
        <x:v>TC-TM004-CORE-03</x:v>
      </x:c>
      <x:c r="C273" s="4" t="str">
        <x:v>损坏完整行与未知结构</x:v>
      </x:c>
      <x:c r="D273" s="4" t="str">
        <x:v>TASK-TM004-PARSER
TASK-TM004-INCREMENTAL</x:v>
      </x:c>
      <x:c r="E273" s="4" t="str">
        <x:v>模块检查</x:v>
      </x:c>
      <x:c r="F273" s="4" t="str">
        <x:v>固定13/7行前置非法UTF8完整行和版本2.1.127完整行，尾部再追加无LF坏字节</x:v>
      </x:c>
      <x:c r="G273"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docs/testing/cases/04-TM-004-claude-collection.md:186</x:v>
      </x:c>
      <x:c r="M273" s="4" t="str">
        <x:v>尚未执行</x:v>
      </x:c>
      <x:c r="N273" s="4" t="str">
        <x:v>v0.4.0-20261001T040433Z</x:v>
      </x:c>
    </x:row>
  </x:sheetData>
  <x:conditionalFormatting sqref="G5:G273">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3">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3">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3">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ad33f5b1dcfb4e67"/>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sheetData>
  <x:conditionalFormatting sqref="E5:E20">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0">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0">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7e7a2a8d48c543ac"/>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4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dc5d10965c904b6d"/>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3e806a9fd13a4224"/>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8da03928fcd14244"/>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c9c873e73bb3444f"/>
  </x:tableParts>
</x:worksheet>
</file>